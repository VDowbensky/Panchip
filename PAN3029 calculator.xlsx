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panchip\Desktop\仓库\Gitlab\pan3029\Gitlab\pan3029_pub_datasheet\"/>
    </mc:Choice>
  </mc:AlternateContent>
  <xr:revisionPtr revIDLastSave="0" documentId="13_ncr:1_{0AF1E1D4-61EE-4546-A157-7F4F711279AD}" xr6:coauthVersionLast="47" xr6:coauthVersionMax="47" xr10:uidLastSave="{00000000-0000-0000-0000-000000000000}"/>
  <bookViews>
    <workbookView xWindow="-120" yWindow="-120" windowWidth="29040" windowHeight="15720" tabRatio="362" xr2:uid="{00000000-000D-0000-FFFF-FFFF00000000}"/>
  </bookViews>
  <sheets>
    <sheet name="PAN3029 calculator" sheetId="4" r:id="rId1"/>
  </sheets>
  <definedNames>
    <definedName name="Payload">#REF!</definedName>
  </definedNames>
  <calcPr calcId="191029"/>
</workbook>
</file>

<file path=xl/calcChain.xml><?xml version="1.0" encoding="utf-8"?>
<calcChain xmlns="http://schemas.openxmlformats.org/spreadsheetml/2006/main">
  <c r="C21" i="4" l="1"/>
  <c r="C16" i="4"/>
  <c r="C17" i="4" l="1"/>
  <c r="C18" i="4"/>
  <c r="C20" i="4" l="1"/>
  <c r="C19" i="4"/>
  <c r="C22" i="4" l="1"/>
</calcChain>
</file>

<file path=xl/sharedStrings.xml><?xml version="1.0" encoding="utf-8"?>
<sst xmlns="http://schemas.openxmlformats.org/spreadsheetml/2006/main" count="70" uniqueCount="41">
  <si>
    <t>dB</t>
  </si>
  <si>
    <t>Byte</t>
  </si>
  <si>
    <t>KHz</t>
  </si>
  <si>
    <t>-</t>
  </si>
  <si>
    <t>MHz</t>
  </si>
  <si>
    <t>dBm</t>
  </si>
  <si>
    <t xml:space="preserve">1=4/5, 2=4/6, 3=4/7, 4=4/8  </t>
  </si>
  <si>
    <t>ms</t>
  </si>
  <si>
    <t>kbps</t>
  </si>
  <si>
    <t>Panchip Microelectronics Co., Ltd.</t>
    <phoneticPr fontId="9" type="noConversion"/>
  </si>
  <si>
    <t>Parameters</t>
    <phoneticPr fontId="9" type="noConversion"/>
  </si>
  <si>
    <r>
      <t xml:space="preserve">PAN3029 </t>
    </r>
    <r>
      <rPr>
        <sz val="16"/>
        <color theme="0"/>
        <rFont val="Times New Roman"/>
        <family val="3"/>
      </rPr>
      <t>Calculator</t>
    </r>
    <phoneticPr fontId="9" type="noConversion"/>
  </si>
  <si>
    <t>Value</t>
    <phoneticPr fontId="9" type="noConversion"/>
  </si>
  <si>
    <t>Unit</t>
    <phoneticPr fontId="9" type="noConversion"/>
  </si>
  <si>
    <t>Description</t>
    <phoneticPr fontId="9" type="noConversion"/>
  </si>
  <si>
    <t>Bandwidth</t>
    <phoneticPr fontId="9" type="noConversion"/>
  </si>
  <si>
    <t>Coding Rate</t>
    <phoneticPr fontId="9" type="noConversion"/>
  </si>
  <si>
    <t>CRC16 included</t>
    <phoneticPr fontId="9" type="noConversion"/>
  </si>
  <si>
    <t>Default value: 8      Input range: 8~65535</t>
    <phoneticPr fontId="9" type="noConversion"/>
  </si>
  <si>
    <t>Link Budget</t>
    <phoneticPr fontId="9" type="noConversion"/>
  </si>
  <si>
    <t>Actual Data Rate</t>
    <phoneticPr fontId="9" type="noConversion"/>
  </si>
  <si>
    <t>Default is 6</t>
  </si>
  <si>
    <t>*The final explanation right belongs to Shanghai Panqi Microelectronics Co.</t>
    <phoneticPr fontId="9" type="noConversion"/>
  </si>
  <si>
    <t>Symbol Length</t>
    <phoneticPr fontId="9" type="noConversion"/>
  </si>
  <si>
    <t>Preamble Duration</t>
    <phoneticPr fontId="9" type="noConversion"/>
  </si>
  <si>
    <t>Payload Duration</t>
    <phoneticPr fontId="9" type="noConversion"/>
  </si>
  <si>
    <r>
      <t>Preamble</t>
    </r>
    <r>
      <rPr>
        <sz val="10"/>
        <rFont val="Times New Roman"/>
        <family val="1"/>
      </rPr>
      <t>/Header/CRC included</t>
    </r>
    <phoneticPr fontId="9" type="noConversion"/>
  </si>
  <si>
    <t>Message Mode</t>
    <phoneticPr fontId="9" type="noConversion"/>
  </si>
  <si>
    <t xml:space="preserve">Preamble Symbol </t>
    <phoneticPr fontId="9" type="noConversion"/>
  </si>
  <si>
    <t>Low Datarate Mode</t>
    <phoneticPr fontId="9" type="noConversion"/>
  </si>
  <si>
    <t>Receiver Sensitivity</t>
    <phoneticPr fontId="9" type="noConversion"/>
  </si>
  <si>
    <t>Sreading Factor</t>
    <phoneticPr fontId="9" type="noConversion"/>
  </si>
  <si>
    <r>
      <t>Payload Bytes</t>
    </r>
    <r>
      <rPr>
        <sz val="10"/>
        <rFont val="Times New Roman"/>
        <family val="1"/>
      </rPr>
      <t xml:space="preserve"> (2 to 255)</t>
    </r>
    <phoneticPr fontId="9" type="noConversion"/>
  </si>
  <si>
    <t>User payload length</t>
    <phoneticPr fontId="9" type="noConversion"/>
  </si>
  <si>
    <r>
      <t>Signal Carrier Frequency</t>
    </r>
    <r>
      <rPr>
        <sz val="10"/>
        <rFont val="Times New Roman"/>
        <family val="1"/>
      </rPr>
      <t xml:space="preserve"> (150 MHz to 1.2 GHz) </t>
    </r>
    <phoneticPr fontId="9" type="noConversion"/>
  </si>
  <si>
    <t>Radio Noise Figure</t>
    <phoneticPr fontId="9" type="noConversion"/>
  </si>
  <si>
    <r>
      <t>1 = E</t>
    </r>
    <r>
      <rPr>
        <sz val="10"/>
        <rFont val="Times New Roman"/>
        <family val="3"/>
      </rPr>
      <t>nabled</t>
    </r>
    <r>
      <rPr>
        <sz val="10"/>
        <rFont val="宋体"/>
        <family val="3"/>
        <charset val="134"/>
      </rPr>
      <t xml:space="preserve">, </t>
    </r>
    <r>
      <rPr>
        <sz val="10"/>
        <rFont val="Times New Roman"/>
        <family val="1"/>
      </rPr>
      <t xml:space="preserve">0 = </t>
    </r>
    <r>
      <rPr>
        <sz val="10"/>
        <rFont val="Times New Roman"/>
        <family val="3"/>
      </rPr>
      <t>Disabled</t>
    </r>
    <phoneticPr fontId="9" type="noConversion"/>
  </si>
  <si>
    <t>Radiated TX power</t>
    <phoneticPr fontId="9" type="noConversion"/>
  </si>
  <si>
    <t>Default enabled</t>
    <phoneticPr fontId="9" type="noConversion"/>
  </si>
  <si>
    <t>Total Time on Air</t>
    <phoneticPr fontId="9" type="noConversion"/>
  </si>
  <si>
    <r>
      <t>Transmit Output Power</t>
    </r>
    <r>
      <rPr>
        <sz val="10"/>
        <rFont val="Times New Roman"/>
        <family val="1"/>
      </rPr>
      <t>(-30 to + 20)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</si>
</sst>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 x14ac:knownFonts="1">
    <font>
      <sz val="10"/>
      <name val="Arial"/>
      <charset val="134"/>
    </font>
    <font>
      <sz val="14"/>
      <name val="Arial"/>
      <family val="2"/>
    </font>
    <font>
      <sz val="10"/>
      <name val="Times New Roman"/>
      <family val="1"/>
    </font>
    <font>
      <sz val="16"/>
      <color theme="0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10"/>
      <name val="宋体"/>
      <family val="3"/>
      <charset val="134"/>
    </font>
    <font>
      <sz val="10"/>
      <color theme="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Times New Roman"/>
      <family val="3"/>
      <charset val="134"/>
    </font>
    <font>
      <sz val="16"/>
      <color theme="0"/>
      <name val="Times New Roman"/>
      <family val="3"/>
    </font>
    <font>
      <sz val="24"/>
      <color theme="0"/>
      <name val="Times New Roman"/>
      <family val="3"/>
    </font>
    <font>
      <b/>
      <sz val="10"/>
      <color theme="0"/>
      <name val="Times New Roman"/>
      <family val="3"/>
    </font>
    <font>
      <sz val="10"/>
      <name val="Times New Roman"/>
      <family val="3"/>
    </font>
    <font>
      <sz val="9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3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39988402966399123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57">
    <xf numFmtId="0" fontId="0" fillId="0" borderId="0" xfId="0" applyAlignment="1"/>
    <xf numFmtId="0" fontId="1" fillId="0" borderId="0" xfId="0" applyFont="1" applyAlignment="1"/>
    <xf numFmtId="0" fontId="0" fillId="2" borderId="1" xfId="0" applyFill="1" applyBorder="1" applyAlignment="1"/>
    <xf numFmtId="0" fontId="0" fillId="2" borderId="3" xfId="0" applyFill="1" applyBorder="1" applyAlignment="1"/>
    <xf numFmtId="0" fontId="1" fillId="2" borderId="4" xfId="0" applyFont="1" applyFill="1" applyBorder="1" applyAlignment="1"/>
    <xf numFmtId="0" fontId="1" fillId="2" borderId="8" xfId="0" applyFont="1" applyFill="1" applyBorder="1" applyAlignment="1"/>
    <xf numFmtId="0" fontId="0" fillId="2" borderId="4" xfId="0" applyFill="1" applyBorder="1" applyAlignment="1"/>
    <xf numFmtId="0" fontId="0" fillId="5" borderId="8" xfId="0" applyFill="1" applyBorder="1" applyAlignment="1"/>
    <xf numFmtId="2" fontId="0" fillId="0" borderId="0" xfId="0" applyNumberFormat="1" applyAlignment="1"/>
    <xf numFmtId="0" fontId="2" fillId="6" borderId="9" xfId="1" applyFont="1" applyFill="1" applyBorder="1" applyAlignment="1"/>
    <xf numFmtId="0" fontId="4" fillId="7" borderId="10" xfId="1" applyFont="1" applyFill="1" applyBorder="1" applyAlignment="1" applyProtection="1">
      <alignment horizontal="left" indent="1"/>
      <protection locked="0"/>
    </xf>
    <xf numFmtId="0" fontId="2" fillId="6" borderId="10" xfId="1" applyFont="1" applyFill="1" applyBorder="1" applyAlignment="1"/>
    <xf numFmtId="0" fontId="2" fillId="6" borderId="11" xfId="1" applyFont="1" applyFill="1" applyBorder="1" applyAlignment="1"/>
    <xf numFmtId="0" fontId="2" fillId="6" borderId="9" xfId="0" applyFont="1" applyFill="1" applyBorder="1" applyAlignment="1"/>
    <xf numFmtId="176" fontId="4" fillId="7" borderId="10" xfId="0" applyNumberFormat="1" applyFont="1" applyFill="1" applyBorder="1" applyAlignment="1" applyProtection="1">
      <alignment horizontal="left" indent="1"/>
      <protection locked="0"/>
    </xf>
    <xf numFmtId="0" fontId="2" fillId="6" borderId="10" xfId="0" applyFont="1" applyFill="1" applyBorder="1" applyAlignment="1"/>
    <xf numFmtId="0" fontId="2" fillId="6" borderId="11" xfId="0" applyFont="1" applyFill="1" applyBorder="1" applyAlignment="1"/>
    <xf numFmtId="0" fontId="8" fillId="5" borderId="8" xfId="1" applyFill="1" applyBorder="1" applyAlignment="1"/>
    <xf numFmtId="0" fontId="8" fillId="0" borderId="0" xfId="1" applyAlignment="1"/>
    <xf numFmtId="1" fontId="4" fillId="7" borderId="10" xfId="0" applyNumberFormat="1" applyFont="1" applyFill="1" applyBorder="1" applyAlignment="1" applyProtection="1">
      <alignment horizontal="left" indent="1"/>
      <protection locked="0"/>
    </xf>
    <xf numFmtId="0" fontId="4" fillId="7" borderId="10" xfId="0" applyFont="1" applyFill="1" applyBorder="1" applyAlignment="1" applyProtection="1">
      <alignment horizontal="left" indent="1"/>
      <protection locked="0"/>
    </xf>
    <xf numFmtId="0" fontId="2" fillId="6" borderId="10" xfId="1" applyFont="1" applyFill="1" applyBorder="1" applyAlignment="1">
      <alignment horizontal="left"/>
    </xf>
    <xf numFmtId="0" fontId="5" fillId="5" borderId="8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right"/>
    </xf>
    <xf numFmtId="0" fontId="2" fillId="6" borderId="14" xfId="1" applyFont="1" applyFill="1" applyBorder="1" applyAlignment="1"/>
    <xf numFmtId="0" fontId="7" fillId="0" borderId="0" xfId="1" applyFont="1" applyAlignment="1"/>
    <xf numFmtId="0" fontId="2" fillId="6" borderId="14" xfId="1" applyFont="1" applyFill="1" applyBorder="1" applyAlignment="1">
      <alignment wrapText="1"/>
    </xf>
    <xf numFmtId="0" fontId="0" fillId="2" borderId="13" xfId="0" applyFill="1" applyBorder="1" applyAlignment="1"/>
    <xf numFmtId="0" fontId="0" fillId="2" borderId="17" xfId="0" applyFill="1" applyBorder="1" applyAlignment="1"/>
    <xf numFmtId="0" fontId="0" fillId="2" borderId="18" xfId="0" applyFill="1" applyBorder="1" applyAlignment="1"/>
    <xf numFmtId="11" fontId="0" fillId="0" borderId="0" xfId="0" applyNumberFormat="1" applyAlignment="1"/>
    <xf numFmtId="0" fontId="10" fillId="6" borderId="11" xfId="1" applyFont="1" applyFill="1" applyBorder="1" applyAlignment="1">
      <alignment horizontal="left"/>
    </xf>
    <xf numFmtId="176" fontId="5" fillId="9" borderId="10" xfId="0" applyNumberFormat="1" applyFont="1" applyFill="1" applyBorder="1" applyAlignment="1" applyProtection="1">
      <alignment horizontal="left" indent="1"/>
      <protection hidden="1"/>
    </xf>
    <xf numFmtId="1" fontId="5" fillId="9" borderId="10" xfId="0" applyNumberFormat="1" applyFont="1" applyFill="1" applyBorder="1" applyAlignment="1" applyProtection="1">
      <alignment horizontal="left" indent="1"/>
      <protection hidden="1"/>
    </xf>
    <xf numFmtId="176" fontId="5" fillId="9" borderId="10" xfId="1" applyNumberFormat="1" applyFont="1" applyFill="1" applyBorder="1" applyAlignment="1" applyProtection="1">
      <alignment horizontal="left" indent="1"/>
      <protection hidden="1"/>
    </xf>
    <xf numFmtId="2" fontId="5" fillId="9" borderId="14" xfId="1" applyNumberFormat="1" applyFont="1" applyFill="1" applyBorder="1" applyAlignment="1" applyProtection="1">
      <alignment horizontal="left" indent="1"/>
      <protection hidden="1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6" borderId="9" xfId="0" applyFont="1" applyFill="1" applyBorder="1" applyAlignment="1"/>
    <xf numFmtId="0" fontId="14" fillId="6" borderId="12" xfId="1" applyFont="1" applyFill="1" applyBorder="1" applyAlignment="1"/>
    <xf numFmtId="0" fontId="14" fillId="6" borderId="11" xfId="1" applyFont="1" applyFill="1" applyBorder="1" applyAlignment="1"/>
    <xf numFmtId="0" fontId="14" fillId="6" borderId="13" xfId="1" applyFont="1" applyFill="1" applyBorder="1" applyAlignment="1"/>
    <xf numFmtId="0" fontId="14" fillId="6" borderId="15" xfId="1" applyFont="1" applyFill="1" applyBorder="1" applyAlignment="1"/>
    <xf numFmtId="0" fontId="14" fillId="6" borderId="9" xfId="1" applyFont="1" applyFill="1" applyBorder="1" applyAlignment="1"/>
    <xf numFmtId="0" fontId="14" fillId="6" borderId="16" xfId="1" applyFont="1" applyFill="1" applyBorder="1" applyAlignment="1">
      <alignment wrapText="1"/>
    </xf>
    <xf numFmtId="0" fontId="8" fillId="0" borderId="0" xfId="0" applyFont="1" applyAlignment="1"/>
    <xf numFmtId="0" fontId="14" fillId="6" borderId="9" xfId="1" applyFont="1" applyFill="1" applyBorder="1" applyAlignment="1">
      <alignment wrapText="1"/>
    </xf>
    <xf numFmtId="0" fontId="15" fillId="2" borderId="17" xfId="0" applyFont="1" applyFill="1" applyBorder="1" applyAlignment="1">
      <alignment horizontal="right" vertical="top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8" fillId="8" borderId="5" xfId="1" applyFill="1" applyBorder="1" applyAlignment="1">
      <alignment horizontal="center"/>
    </xf>
    <xf numFmtId="0" fontId="8" fillId="8" borderId="6" xfId="1" applyFill="1" applyBorder="1" applyAlignment="1">
      <alignment horizontal="center"/>
    </xf>
    <xf numFmtId="0" fontId="8" fillId="8" borderId="7" xfId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</cellXfs>
  <cellStyles count="2">
    <cellStyle name="Excel Built-in Normal" xfId="1" xr:uid="{00000000-0005-0000-0000-000015000000}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1615440</xdr:colOff>
      <xdr:row>0</xdr:row>
      <xdr:rowOff>441960</xdr:rowOff>
    </xdr:from>
    <xdr:ext cx="893065" cy="242374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187440" y="441960"/>
          <a:ext cx="893065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900">
              <a:latin typeface="Times New Roman" panose="02020603050405020304" charset="0"/>
              <a:cs typeface="Times New Roman" panose="02020603050405020304" charset="0"/>
            </a:rPr>
            <a:t>Version</a:t>
          </a:r>
          <a:r>
            <a:rPr lang="zh-CN" altLang="en-US" sz="900">
              <a:latin typeface="Times New Roman" panose="02020603050405020304" charset="0"/>
              <a:cs typeface="Times New Roman" panose="02020603050405020304" charset="0"/>
            </a:rPr>
            <a:t>：</a:t>
          </a:r>
          <a:r>
            <a:rPr lang="en-US" altLang="zh-CN" sz="900">
              <a:latin typeface="Times New Roman" panose="02020603050405020304" charset="0"/>
              <a:cs typeface="Times New Roman" panose="02020603050405020304" charset="0"/>
            </a:rPr>
            <a:t>V1.8</a:t>
          </a:r>
          <a:endParaRPr lang="zh-CN" altLang="en-US" sz="900"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oneCellAnchor>
  <xdr:twoCellAnchor>
    <xdr:from>
      <xdr:col>0</xdr:col>
      <xdr:colOff>514350</xdr:colOff>
      <xdr:row>0</xdr:row>
      <xdr:rowOff>9525</xdr:rowOff>
    </xdr:from>
    <xdr:to>
      <xdr:col>1</xdr:col>
      <xdr:colOff>699770</xdr:colOff>
      <xdr:row>0</xdr:row>
      <xdr:rowOff>633730</xdr:rowOff>
    </xdr:to>
    <xdr:pic>
      <xdr:nvPicPr>
        <xdr:cNvPr id="4" name="图片 3" descr="logo">
          <a:extLst>
            <a:ext uri="{FF2B5EF4-FFF2-40B4-BE49-F238E27FC236}">
              <a16:creationId xmlns:a16="http://schemas.microsoft.com/office/drawing/2014/main" id="{4E5F68CD-9E09-4CEF-9AB3-6ECA7881D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4350" y="9525"/>
          <a:ext cx="775970" cy="624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B14" sqref="B14:E14"/>
    </sheetView>
  </sheetViews>
  <sheetFormatPr defaultColWidth="8.85546875" defaultRowHeight="12.75" x14ac:dyDescent="0.2"/>
  <cols>
    <col min="2" max="2" width="36.5703125" customWidth="1"/>
    <col min="3" max="3" width="13.28515625" customWidth="1"/>
    <col min="4" max="4" width="9.85546875" customWidth="1"/>
    <col min="5" max="5" width="35.5703125" customWidth="1"/>
    <col min="7" max="7" width="9.28515625" customWidth="1"/>
    <col min="8" max="11" width="9.28515625" hidden="1" customWidth="1"/>
    <col min="12" max="12" width="9.28515625" customWidth="1"/>
  </cols>
  <sheetData>
    <row r="1" spans="1:11" ht="52.9" customHeight="1" thickBot="1" x14ac:dyDescent="0.25">
      <c r="A1" s="2"/>
      <c r="B1" s="56" t="s">
        <v>9</v>
      </c>
      <c r="C1" s="56"/>
      <c r="D1" s="56"/>
      <c r="E1" s="56"/>
      <c r="F1" s="3"/>
      <c r="H1" s="8">
        <v>12</v>
      </c>
      <c r="I1" s="31">
        <v>2100</v>
      </c>
      <c r="J1" s="8">
        <v>-20</v>
      </c>
      <c r="K1" t="s">
        <v>0</v>
      </c>
    </row>
    <row r="2" spans="1:11" s="1" customFormat="1" ht="22.15" customHeight="1" thickBot="1" x14ac:dyDescent="0.35">
      <c r="A2" s="4"/>
      <c r="B2" s="50" t="s">
        <v>11</v>
      </c>
      <c r="C2" s="51"/>
      <c r="D2" s="51"/>
      <c r="E2" s="52"/>
      <c r="F2" s="5"/>
      <c r="H2" s="8">
        <v>11</v>
      </c>
      <c r="I2" s="31">
        <v>3800</v>
      </c>
      <c r="J2" s="8">
        <v>-17.5</v>
      </c>
      <c r="K2" t="s">
        <v>0</v>
      </c>
    </row>
    <row r="3" spans="1:11" x14ac:dyDescent="0.2">
      <c r="A3" s="6"/>
      <c r="B3" s="39" t="s">
        <v>10</v>
      </c>
      <c r="C3" s="37" t="s">
        <v>12</v>
      </c>
      <c r="D3" s="37" t="s">
        <v>13</v>
      </c>
      <c r="E3" s="38" t="s">
        <v>14</v>
      </c>
      <c r="F3" s="7"/>
      <c r="H3" s="8">
        <v>10</v>
      </c>
      <c r="I3" s="31">
        <v>7000</v>
      </c>
      <c r="J3" s="8">
        <v>-15</v>
      </c>
      <c r="K3" t="s">
        <v>0</v>
      </c>
    </row>
    <row r="4" spans="1:11" x14ac:dyDescent="0.2">
      <c r="A4" s="6"/>
      <c r="B4" s="45" t="s">
        <v>32</v>
      </c>
      <c r="C4" s="10">
        <v>50</v>
      </c>
      <c r="D4" s="11" t="s">
        <v>1</v>
      </c>
      <c r="E4" s="42" t="s">
        <v>33</v>
      </c>
      <c r="F4" s="7"/>
      <c r="H4" s="8">
        <v>9</v>
      </c>
      <c r="I4" s="31">
        <v>12000</v>
      </c>
      <c r="J4" s="8">
        <v>-12.5</v>
      </c>
      <c r="K4" t="s">
        <v>0</v>
      </c>
    </row>
    <row r="5" spans="1:11" x14ac:dyDescent="0.2">
      <c r="A5" s="6"/>
      <c r="B5" s="40" t="s">
        <v>15</v>
      </c>
      <c r="C5" s="14">
        <v>62.5</v>
      </c>
      <c r="D5" s="15" t="s">
        <v>2</v>
      </c>
      <c r="E5" s="16" t="s">
        <v>3</v>
      </c>
      <c r="F5" s="17"/>
      <c r="G5" s="18"/>
      <c r="H5" s="8">
        <v>8</v>
      </c>
      <c r="I5" s="31">
        <v>22000</v>
      </c>
      <c r="J5" s="8">
        <v>-10</v>
      </c>
      <c r="K5" t="s">
        <v>0</v>
      </c>
    </row>
    <row r="6" spans="1:11" x14ac:dyDescent="0.2">
      <c r="A6" s="6"/>
      <c r="B6" s="13" t="s">
        <v>31</v>
      </c>
      <c r="C6" s="19">
        <v>5</v>
      </c>
      <c r="D6" s="15" t="s">
        <v>3</v>
      </c>
      <c r="E6" s="16" t="s">
        <v>3</v>
      </c>
      <c r="F6" s="17"/>
      <c r="G6" s="18"/>
      <c r="H6" s="8">
        <v>7</v>
      </c>
      <c r="I6" s="31">
        <v>39000</v>
      </c>
      <c r="J6" s="8">
        <v>-7.5</v>
      </c>
      <c r="K6" t="s">
        <v>0</v>
      </c>
    </row>
    <row r="7" spans="1:11" x14ac:dyDescent="0.2">
      <c r="A7" s="6"/>
      <c r="B7" s="40" t="s">
        <v>34</v>
      </c>
      <c r="C7" s="19">
        <v>470</v>
      </c>
      <c r="D7" s="15" t="s">
        <v>4</v>
      </c>
      <c r="E7" s="16" t="s">
        <v>3</v>
      </c>
      <c r="F7" s="17"/>
      <c r="G7" s="18"/>
      <c r="H7" s="8">
        <v>6</v>
      </c>
      <c r="I7" s="31">
        <v>0</v>
      </c>
      <c r="J7" s="8">
        <v>-5</v>
      </c>
      <c r="K7" t="s">
        <v>0</v>
      </c>
    </row>
    <row r="8" spans="1:11" x14ac:dyDescent="0.2">
      <c r="A8" s="6"/>
      <c r="B8" s="40" t="s">
        <v>35</v>
      </c>
      <c r="C8" s="20">
        <v>6</v>
      </c>
      <c r="D8" s="21" t="s">
        <v>0</v>
      </c>
      <c r="E8" s="32" t="s">
        <v>21</v>
      </c>
      <c r="F8" s="17"/>
      <c r="G8" s="18"/>
      <c r="H8" s="8">
        <v>5</v>
      </c>
      <c r="I8" s="31">
        <v>0</v>
      </c>
      <c r="J8" s="18">
        <v>-2.5</v>
      </c>
      <c r="K8" t="s">
        <v>0</v>
      </c>
    </row>
    <row r="9" spans="1:11" x14ac:dyDescent="0.2">
      <c r="A9" s="6"/>
      <c r="B9" s="40" t="s">
        <v>40</v>
      </c>
      <c r="C9" s="14">
        <v>20</v>
      </c>
      <c r="D9" s="11" t="s">
        <v>5</v>
      </c>
      <c r="E9" s="12" t="s">
        <v>37</v>
      </c>
      <c r="F9" s="17"/>
      <c r="G9" s="18"/>
      <c r="H9" s="18"/>
      <c r="I9" s="18"/>
      <c r="J9" s="18"/>
      <c r="K9" s="18"/>
    </row>
    <row r="10" spans="1:11" x14ac:dyDescent="0.2">
      <c r="A10" s="6"/>
      <c r="B10" s="40" t="s">
        <v>27</v>
      </c>
      <c r="C10" s="20">
        <v>1</v>
      </c>
      <c r="D10" s="11" t="s">
        <v>3</v>
      </c>
      <c r="E10" s="12" t="s">
        <v>38</v>
      </c>
      <c r="F10" s="22"/>
      <c r="G10" s="23"/>
      <c r="H10" s="24"/>
      <c r="I10" s="18"/>
      <c r="J10" s="18"/>
      <c r="K10" s="23"/>
    </row>
    <row r="11" spans="1:11" x14ac:dyDescent="0.2">
      <c r="A11" s="6"/>
      <c r="B11" s="41" t="s">
        <v>16</v>
      </c>
      <c r="C11" s="20">
        <v>1</v>
      </c>
      <c r="D11" s="12" t="s">
        <v>3</v>
      </c>
      <c r="E11" s="12" t="s">
        <v>6</v>
      </c>
      <c r="F11" s="17"/>
      <c r="G11" s="18"/>
      <c r="H11" s="18"/>
      <c r="I11" s="18"/>
      <c r="J11" s="18"/>
      <c r="K11" s="18"/>
    </row>
    <row r="12" spans="1:11" x14ac:dyDescent="0.2">
      <c r="A12" s="6"/>
      <c r="B12" s="41" t="s">
        <v>28</v>
      </c>
      <c r="C12" s="20">
        <v>8</v>
      </c>
      <c r="D12" s="11" t="s">
        <v>3</v>
      </c>
      <c r="E12" s="42" t="s">
        <v>18</v>
      </c>
      <c r="F12" s="22"/>
      <c r="G12" s="18"/>
      <c r="H12" s="18"/>
      <c r="I12" s="18"/>
      <c r="J12" s="18"/>
      <c r="K12" s="18"/>
    </row>
    <row r="13" spans="1:11" ht="13.5" thickBot="1" x14ac:dyDescent="0.25">
      <c r="A13" s="6"/>
      <c r="B13" s="43" t="s">
        <v>29</v>
      </c>
      <c r="C13" s="20">
        <v>0</v>
      </c>
      <c r="D13" s="25" t="s">
        <v>3</v>
      </c>
      <c r="E13" s="12" t="s">
        <v>36</v>
      </c>
      <c r="F13" s="17"/>
      <c r="G13" s="18"/>
      <c r="H13" s="18"/>
      <c r="I13" s="18"/>
      <c r="J13" s="18"/>
      <c r="K13" s="18"/>
    </row>
    <row r="14" spans="1:11" ht="13.5" thickBot="1" x14ac:dyDescent="0.25">
      <c r="A14" s="6"/>
      <c r="B14" s="53"/>
      <c r="C14" s="54"/>
      <c r="D14" s="54"/>
      <c r="E14" s="55"/>
      <c r="F14" s="17"/>
      <c r="G14" s="18"/>
      <c r="H14" s="24"/>
      <c r="I14" s="18"/>
      <c r="J14" s="18"/>
      <c r="K14" s="18"/>
    </row>
    <row r="15" spans="1:11" x14ac:dyDescent="0.2">
      <c r="A15" s="6"/>
      <c r="B15" s="39" t="s">
        <v>10</v>
      </c>
      <c r="C15" s="37" t="s">
        <v>12</v>
      </c>
      <c r="D15" s="37" t="s">
        <v>13</v>
      </c>
      <c r="E15" s="38" t="s">
        <v>14</v>
      </c>
      <c r="F15" s="17"/>
      <c r="G15" s="18"/>
      <c r="H15" s="18"/>
      <c r="I15" s="18"/>
      <c r="J15" s="18"/>
      <c r="K15" s="18"/>
    </row>
    <row r="16" spans="1:11" x14ac:dyDescent="0.2">
      <c r="A16" s="6"/>
      <c r="B16" s="40" t="s">
        <v>30</v>
      </c>
      <c r="C16" s="33">
        <f>VLOOKUP(C6,H1:J8,3,FALSE)-174+10*LOG10(C5*1000)+C8</f>
        <v>-122.54119982655925</v>
      </c>
      <c r="D16" s="11" t="s">
        <v>5</v>
      </c>
      <c r="E16" s="12" t="s">
        <v>3</v>
      </c>
      <c r="F16" s="17"/>
      <c r="G16" s="18"/>
      <c r="H16" s="18"/>
      <c r="I16" s="18"/>
      <c r="J16" s="18"/>
      <c r="K16" s="18"/>
    </row>
    <row r="17" spans="1:11" x14ac:dyDescent="0.2">
      <c r="A17" s="6"/>
      <c r="B17" s="40" t="s">
        <v>19</v>
      </c>
      <c r="C17" s="34">
        <f>C9-C16</f>
        <v>142.54119982655925</v>
      </c>
      <c r="D17" s="11" t="s">
        <v>0</v>
      </c>
      <c r="E17" s="12" t="s">
        <v>3</v>
      </c>
      <c r="F17" s="17"/>
      <c r="G17" s="18"/>
      <c r="H17" s="18"/>
      <c r="I17" s="18"/>
      <c r="J17" s="18"/>
      <c r="K17" s="18"/>
    </row>
    <row r="18" spans="1:11" x14ac:dyDescent="0.2">
      <c r="A18" s="6"/>
      <c r="B18" s="40" t="s">
        <v>23</v>
      </c>
      <c r="C18" s="35">
        <f>2^C6/C5</f>
        <v>0.51200000000000001</v>
      </c>
      <c r="D18" s="11" t="s">
        <v>7</v>
      </c>
      <c r="E18" s="12" t="s">
        <v>3</v>
      </c>
      <c r="F18" s="17"/>
      <c r="G18" s="18"/>
      <c r="H18" s="24"/>
      <c r="I18" s="18"/>
      <c r="J18" s="18"/>
      <c r="K18" s="18"/>
    </row>
    <row r="19" spans="1:11" x14ac:dyDescent="0.2">
      <c r="A19" s="6"/>
      <c r="B19" s="9" t="s">
        <v>24</v>
      </c>
      <c r="C19" s="35">
        <f>IF(C6&lt;7,C12+6.25,C12+4.25)*C18</f>
        <v>7.2960000000000003</v>
      </c>
      <c r="D19" s="11" t="s">
        <v>7</v>
      </c>
      <c r="E19" s="12" t="s">
        <v>3</v>
      </c>
      <c r="F19" s="17"/>
      <c r="G19" s="18"/>
      <c r="H19" s="18"/>
      <c r="I19" s="18"/>
      <c r="J19" s="18"/>
      <c r="K19" s="18"/>
    </row>
    <row r="20" spans="1:11" x14ac:dyDescent="0.2">
      <c r="A20" s="6"/>
      <c r="B20" s="45" t="s">
        <v>25</v>
      </c>
      <c r="C20" s="35">
        <f>IF(C6&gt;6,(C18*(8+IF(C4&gt;0,CEILING((C4*8-4*C6+28-(1-C10)*20+16)/(4*(C6-C13*2)),1)*(4+$C11),0))),(C18*(8+CEILING((C4*8-C6*4+16+20)/((C6-2*C13)*4),1)*(C11+4))))</f>
        <v>57.856000000000002</v>
      </c>
      <c r="D20" s="11" t="s">
        <v>7</v>
      </c>
      <c r="E20" s="12" t="s">
        <v>3</v>
      </c>
      <c r="F20" s="17"/>
      <c r="G20" s="18"/>
      <c r="H20" s="18"/>
      <c r="I20" s="18"/>
      <c r="J20" s="18"/>
      <c r="K20" s="18"/>
    </row>
    <row r="21" spans="1:11" ht="12.75" customHeight="1" x14ac:dyDescent="0.2">
      <c r="A21" s="6"/>
      <c r="B21" s="48" t="s">
        <v>39</v>
      </c>
      <c r="C21" s="35">
        <f>C19+C20</f>
        <v>65.152000000000001</v>
      </c>
      <c r="D21" s="11" t="s">
        <v>7</v>
      </c>
      <c r="E21" s="42" t="s">
        <v>17</v>
      </c>
      <c r="F21" s="17"/>
      <c r="G21" s="18"/>
      <c r="H21" s="26"/>
      <c r="I21" s="26"/>
      <c r="J21" s="18"/>
      <c r="K21" s="18"/>
    </row>
    <row r="22" spans="1:11" ht="13.5" thickBot="1" x14ac:dyDescent="0.25">
      <c r="A22" s="6"/>
      <c r="B22" s="44" t="s">
        <v>20</v>
      </c>
      <c r="C22" s="36">
        <f>C4*8/(C21)</f>
        <v>6.139489194499018</v>
      </c>
      <c r="D22" s="27" t="s">
        <v>8</v>
      </c>
      <c r="E22" s="46" t="s">
        <v>26</v>
      </c>
      <c r="F22" s="17"/>
      <c r="G22" s="18"/>
      <c r="H22" s="26"/>
      <c r="I22" s="26"/>
      <c r="J22" s="18"/>
      <c r="K22" s="18"/>
    </row>
    <row r="23" spans="1:11" ht="49.15" customHeight="1" x14ac:dyDescent="0.2">
      <c r="A23" s="28"/>
      <c r="B23" s="29"/>
      <c r="C23" s="29"/>
      <c r="D23" s="29"/>
      <c r="E23" s="49" t="s">
        <v>22</v>
      </c>
      <c r="F23" s="30"/>
    </row>
    <row r="27" spans="1:11" x14ac:dyDescent="0.2">
      <c r="B27" s="47"/>
    </row>
  </sheetData>
  <sheetProtection algorithmName="SHA-512" hashValue="E3wievlJIUdoyPUt5dhKJYNaSU8CHXHzmkCIe+aj5iWPflQIVFCFHDIo1EqJ62/IK0f5FI6F7fvIgnWmeTrzZw==" saltValue="FxRuOOs5/59byVjzGEanKQ==" spinCount="100000" sheet="1" formatCells="0"/>
  <mergeCells count="3">
    <mergeCell ref="B2:E2"/>
    <mergeCell ref="B14:E14"/>
    <mergeCell ref="B1:E1"/>
  </mergeCells>
  <phoneticPr fontId="9" type="noConversion"/>
  <dataValidations count="6">
    <dataValidation type="list" allowBlank="1" showInputMessage="1" showErrorMessage="1" sqref="C13" xr:uid="{00000000-0002-0000-0000-000000000000}">
      <formula1>"0,1"</formula1>
    </dataValidation>
    <dataValidation type="list" allowBlank="1" showInputMessage="1" showErrorMessage="1" sqref="C5" xr:uid="{00000000-0002-0000-0000-000001000000}">
      <formula1>"62.5,125,250,500"</formula1>
    </dataValidation>
    <dataValidation allowBlank="1" showInputMessage="1" showErrorMessage="1" sqref="C12" xr:uid="{00000000-0002-0000-0000-000002000000}"/>
    <dataValidation type="list" allowBlank="1" showInputMessage="1" showErrorMessage="1" sqref="C6" xr:uid="{00000000-0002-0000-0000-000003000000}">
      <formula1>$H$1:$H$8</formula1>
    </dataValidation>
    <dataValidation type="whole" operator="equal" allowBlank="1" showInputMessage="1" showErrorMessage="1" sqref="C10" xr:uid="{00000000-0002-0000-0000-000004000000}">
      <formula1>1</formula1>
    </dataValidation>
    <dataValidation type="list" allowBlank="1" showInputMessage="1" showErrorMessage="1" sqref="C11" xr:uid="{00000000-0002-0000-0000-000005000000}">
      <formula1>"1,2,3,4"</formula1>
    </dataValidation>
  </dataValidation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PAN3029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panchip</dc:creator>
  <cp:lastModifiedBy>qiao 王</cp:lastModifiedBy>
  <dcterms:created xsi:type="dcterms:W3CDTF">2014-03-13T16:28:00Z</dcterms:created>
  <dcterms:modified xsi:type="dcterms:W3CDTF">2024-10-08T08:34:58Z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E67BB40E660347BB831134C30B759CC5</vt:lpwstr>
  </property>
</Properties>
</file>